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13_ncr:1_{FB84BB12-3A7C-43E8-8798-62E1F28E7872}" xr6:coauthVersionLast="46" xr6:coauthVersionMax="46" xr10:uidLastSave="{00000000-0000-0000-0000-000000000000}"/>
  <bookViews>
    <workbookView xWindow="-28920" yWindow="-45" windowWidth="29040" windowHeight="15840" xr2:uid="{00000000-000D-0000-FFFF-FFFF00000000}"/>
  </bookViews>
  <sheets>
    <sheet name="Plan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4" i="1" l="1"/>
  <c r="F15" i="1"/>
  <c r="H15" i="1" s="1"/>
  <c r="F14" i="1"/>
  <c r="H14" i="1" l="1"/>
  <c r="G15" i="1"/>
  <c r="I15" i="1" s="1"/>
  <c r="I14" i="1" l="1"/>
</calcChain>
</file>

<file path=xl/sharedStrings.xml><?xml version="1.0" encoding="utf-8"?>
<sst xmlns="http://schemas.openxmlformats.org/spreadsheetml/2006/main" count="11" uniqueCount="11">
  <si>
    <t>Valor ICMS</t>
  </si>
  <si>
    <t>TOTAL</t>
  </si>
  <si>
    <t>Alíquota ICMS</t>
  </si>
  <si>
    <t xml:space="preserve">TUSD </t>
  </si>
  <si>
    <t>TE</t>
  </si>
  <si>
    <t>Tarifa</t>
  </si>
  <si>
    <t>Alíquita PIS/Cofins</t>
  </si>
  <si>
    <t>Valor sem impostos (R$)</t>
  </si>
  <si>
    <t>Tarifa Sem Impostos (R$/kWh)</t>
  </si>
  <si>
    <t>Valor PIS/Cofins</t>
  </si>
  <si>
    <t>Quantidade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</si>
</sst>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43" fontId="0" fillId="0" borderId="0" xfId="1" applyFont="1"/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2" applyFont="1" applyBorder="1" applyAlignment="1">
      <alignment horizontal="center"/>
    </xf>
    <xf numFmtId="164" fontId="0" fillId="0" borderId="1" xfId="2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43" fontId="2" fillId="0" borderId="1" xfId="1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43" fontId="0" fillId="0" borderId="1" xfId="1" applyFont="1" applyBorder="1" applyAlignment="1">
      <alignment horizontal="center" vertical="center" wrapText="1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</xdr:colOff>
      <xdr:row>0</xdr:row>
      <xdr:rowOff>95250</xdr:rowOff>
    </xdr:from>
    <xdr:to>
      <xdr:col>3</xdr:col>
      <xdr:colOff>777439</xdr:colOff>
      <xdr:row>7</xdr:row>
      <xdr:rowOff>42863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099" y="95250"/>
          <a:ext cx="3352762" cy="12144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3:I15"/>
  <sheetViews>
    <sheetView tabSelected="1" zoomScale="160" zoomScaleNormal="160" workbookViewId="0">
      <selection activeCell="G15" sqref="G15"/>
    </sheetView>
  </sheetViews>
  <sheetFormatPr defaultRowHeight="15" x14ac:dyDescent="0.25"/>
  <cols>
    <col min="1" max="1" width="10.85546875" customWidth="1"/>
    <col min="2" max="2" width="16.7109375" customWidth="1"/>
    <col min="3" max="3" width="10.42578125" bestFit="1" customWidth="1"/>
    <col min="4" max="4" width="14.42578125" customWidth="1"/>
    <col min="5" max="5" width="17.5703125" customWidth="1"/>
    <col min="6" max="6" width="16.7109375" customWidth="1"/>
    <col min="7" max="7" width="11.140625" customWidth="1"/>
    <col min="8" max="8" width="15.140625" bestFit="1" customWidth="1"/>
    <col min="9" max="9" width="10.140625" style="1" customWidth="1"/>
  </cols>
  <sheetData>
    <row r="13" spans="1:9" ht="36" customHeight="1" x14ac:dyDescent="0.25">
      <c r="A13" s="8" t="s">
        <v>5</v>
      </c>
      <c r="B13" s="8" t="s">
        <v>8</v>
      </c>
      <c r="C13" s="8" t="s">
        <v>10</v>
      </c>
      <c r="D13" s="8" t="s">
        <v>2</v>
      </c>
      <c r="E13" s="8" t="s">
        <v>6</v>
      </c>
      <c r="F13" s="8" t="s">
        <v>7</v>
      </c>
      <c r="G13" s="8" t="s">
        <v>0</v>
      </c>
      <c r="H13" s="8" t="s">
        <v>9</v>
      </c>
      <c r="I13" s="9" t="s">
        <v>1</v>
      </c>
    </row>
    <row r="14" spans="1:9" x14ac:dyDescent="0.25">
      <c r="A14" s="2" t="s">
        <v>3</v>
      </c>
      <c r="B14" s="3">
        <v>0.47560000000000002</v>
      </c>
      <c r="C14" s="3">
        <v>245</v>
      </c>
      <c r="D14" s="4">
        <v>0.27</v>
      </c>
      <c r="E14" s="5">
        <v>4.3099999999999999E-2</v>
      </c>
      <c r="F14" s="6">
        <f>B14*C14</f>
        <v>116.52200000000001</v>
      </c>
      <c r="G14" s="6">
        <f>F14*D14/((1-D14)*(1-E14))</f>
        <v>45.03833010992976</v>
      </c>
      <c r="H14" s="6">
        <f>F14*(E14/(1-E14))</f>
        <v>5.2482999268471104</v>
      </c>
      <c r="I14" s="7">
        <f>SUM(F14:H14)</f>
        <v>166.80863003677689</v>
      </c>
    </row>
    <row r="15" spans="1:9" x14ac:dyDescent="0.25">
      <c r="A15" s="2" t="s">
        <v>4</v>
      </c>
      <c r="B15" s="3">
        <v>0.27016000000000001</v>
      </c>
      <c r="C15" s="3">
        <v>245</v>
      </c>
      <c r="D15" s="4">
        <v>0.27</v>
      </c>
      <c r="E15" s="5">
        <v>4.3099999999999999E-2</v>
      </c>
      <c r="F15" s="6">
        <f t="shared" ref="F15" si="0">B15*C15</f>
        <v>66.1892</v>
      </c>
      <c r="G15" s="6">
        <f t="shared" ref="G15" si="1">F15*D15/((1-D15)*(1-E15))</f>
        <v>25.583589702478179</v>
      </c>
      <c r="H15" s="6">
        <f t="shared" ref="H15" si="2">F15*(E15/(1-E15))</f>
        <v>2.9812462326261886</v>
      </c>
      <c r="I15" s="7">
        <f t="shared" ref="I15" si="3">SUM(F15:H15)</f>
        <v>94.754035935104369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Marchioro</dc:creator>
  <cp:lastModifiedBy>Joiris Manoela</cp:lastModifiedBy>
  <dcterms:created xsi:type="dcterms:W3CDTF">2025-06-10T12:34:39Z</dcterms:created>
  <dcterms:modified xsi:type="dcterms:W3CDTF">2025-07-15T21:15:17Z</dcterms:modified>
</cp:coreProperties>
</file>